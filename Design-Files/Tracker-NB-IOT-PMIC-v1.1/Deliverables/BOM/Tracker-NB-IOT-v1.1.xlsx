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cwa-tracker-hw\Design-Files\Tracker-NB-IOT-PMIC-v1.1\Deliverables\BOM\"/>
    </mc:Choice>
  </mc:AlternateContent>
  <xr:revisionPtr revIDLastSave="0" documentId="13_ncr:1_{6910A7C2-B9C9-4455-A46C-8908FD44C4DB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Battery">Sheet1!$K$51</definedName>
  </definedNames>
  <calcPr calcId="191029"/>
</workbook>
</file>

<file path=xl/calcChain.xml><?xml version="1.0" encoding="utf-8"?>
<calcChain xmlns="http://schemas.openxmlformats.org/spreadsheetml/2006/main">
  <c r="B51" i="1" l="1"/>
  <c r="B52" i="1"/>
  <c r="B50" i="1" l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<sst xmlns="http://schemas.openxmlformats.org/spreadsheetml/2006/main" count="356" uniqueCount="239">
  <si>
    <t>#</t>
  </si>
  <si>
    <t>Item Type</t>
  </si>
  <si>
    <t>ANTENNA</t>
  </si>
  <si>
    <t>RF Antennas</t>
  </si>
  <si>
    <t>Capacitor</t>
  </si>
  <si>
    <t>Capacitors</t>
  </si>
  <si>
    <t>Ferrite Beads</t>
  </si>
  <si>
    <t>UFL Connector</t>
  </si>
  <si>
    <t>RF / Coaxial Connectors</t>
  </si>
  <si>
    <t>Male Header</t>
  </si>
  <si>
    <t>Pogo Connector</t>
  </si>
  <si>
    <t>Male</t>
  </si>
  <si>
    <t>Inductor</t>
  </si>
  <si>
    <t>nductors</t>
  </si>
  <si>
    <t>Inductors</t>
  </si>
  <si>
    <t>LED</t>
  </si>
  <si>
    <t>MOSFETs</t>
  </si>
  <si>
    <t>Mosfet</t>
  </si>
  <si>
    <t>Resistor</t>
  </si>
  <si>
    <t>Resistors</t>
  </si>
  <si>
    <t>Switch</t>
  </si>
  <si>
    <t>Module</t>
  </si>
  <si>
    <t>IC</t>
  </si>
  <si>
    <t>Sensor</t>
  </si>
  <si>
    <t>Designator</t>
  </si>
  <si>
    <t>A1</t>
  </si>
  <si>
    <t>ANT1</t>
  </si>
  <si>
    <t>C1, C2, C3</t>
  </si>
  <si>
    <t>C4, C5</t>
  </si>
  <si>
    <t>C6, C14</t>
  </si>
  <si>
    <t>C7, C13, C17, C20, C21, C30, C31</t>
  </si>
  <si>
    <t>C8, C9, C22, C23</t>
  </si>
  <si>
    <t>C10, C11, C24, C25, C26, C28, C29</t>
  </si>
  <si>
    <t>C12</t>
  </si>
  <si>
    <t>C15, C16, C32</t>
  </si>
  <si>
    <t>C18, C19, C27</t>
  </si>
  <si>
    <t>FB1</t>
  </si>
  <si>
    <t>FB2</t>
  </si>
  <si>
    <t>J1</t>
  </si>
  <si>
    <t>J2</t>
  </si>
  <si>
    <t>J3</t>
  </si>
  <si>
    <t>J4</t>
  </si>
  <si>
    <t>J5</t>
  </si>
  <si>
    <t>J6</t>
  </si>
  <si>
    <t>L1</t>
  </si>
  <si>
    <t>L2</t>
  </si>
  <si>
    <t>L3</t>
  </si>
  <si>
    <t>L4</t>
  </si>
  <si>
    <t>L5, L6</t>
  </si>
  <si>
    <t>LED1</t>
  </si>
  <si>
    <t>LED2, LED3</t>
  </si>
  <si>
    <t>Q1</t>
  </si>
  <si>
    <t>Q2</t>
  </si>
  <si>
    <t>Q3</t>
  </si>
  <si>
    <t>R1, R5</t>
  </si>
  <si>
    <t>R2, R27</t>
  </si>
  <si>
    <t>R3, R20, R23, R25, R39</t>
  </si>
  <si>
    <t>R4, R34</t>
  </si>
  <si>
    <t>R6, R7, R8, R9, R10, R11, R12, R13, R14, R24, R28, R33</t>
  </si>
  <si>
    <t>R15, R19</t>
  </si>
  <si>
    <t>R16</t>
  </si>
  <si>
    <t>R17, R18, R38</t>
  </si>
  <si>
    <t>R21, R22</t>
  </si>
  <si>
    <t>R29</t>
  </si>
  <si>
    <t>R30</t>
  </si>
  <si>
    <t>R31, R32, R35, R36</t>
  </si>
  <si>
    <t>SW4</t>
  </si>
  <si>
    <t>U1</t>
  </si>
  <si>
    <t>U2</t>
  </si>
  <si>
    <t>U3</t>
  </si>
  <si>
    <t>U4</t>
  </si>
  <si>
    <t>U5</t>
  </si>
  <si>
    <t>U6</t>
  </si>
  <si>
    <t>Description</t>
  </si>
  <si>
    <t>GPS SMT PATCH ANTENNA</t>
  </si>
  <si>
    <t>RF ANT 700MHZ/750MHZ FLAT BAR</t>
  </si>
  <si>
    <t>CAP CER 39PF 50V C0G/NPO 0402</t>
  </si>
  <si>
    <t>CAP CER 100PF 50V C0G/NPO 0201</t>
  </si>
  <si>
    <t>CAP CER 0.1UF 10V X5R 0201</t>
  </si>
  <si>
    <t>CAP CER 1UF 10V X5R 0201</t>
  </si>
  <si>
    <t>CAP CER 10UF 10V X7R 0603</t>
  </si>
  <si>
    <t>CAP CER 3.5PF 50V C0G/NP0 0201</t>
  </si>
  <si>
    <t>CAP CER 56PF 25V C0G/NP0 0201</t>
  </si>
  <si>
    <t>CAP CER 4.7UF 10V X5R 0402</t>
  </si>
  <si>
    <t>FERRITE BEAD 120 OHM 0402 1LN</t>
  </si>
  <si>
    <t>FERRITE BEAD 22 OHM 0603 1LN</t>
  </si>
  <si>
    <t>CONN U.FL RCPT STR 50 OHM SMD</t>
  </si>
  <si>
    <t>CONN SWF RCPT STR 50 OHM SMD</t>
  </si>
  <si>
    <t>Gold 250V 3A Straight Square Pins 2.5mm 2P 260℃ 6mm -40℃~+105℃ 3mm 2.54mm Plugin Black Brass 1x2P Plugin,P=2.54mm Pin Headers ROHS</t>
  </si>
  <si>
    <t>Pogo Pad 2.5mm 4 Pin</t>
  </si>
  <si>
    <t>3A Direct Insert Policy 1.7mm 2P 3mm -55℃~+105℃ 2.5mm 1.27mm Single Row Black Brass 1x2P Plugin,P=1.27mm Pin Headers ROHS</t>
  </si>
  <si>
    <t>FIXED IND 68NH 140MA 1.96OHM SMD</t>
  </si>
  <si>
    <t>FIXED IND 9.1NH 540MA 0.14OHM SM</t>
  </si>
  <si>
    <t>FIXED IND 1.5NH 1A 50 MOHM SMD</t>
  </si>
  <si>
    <t>FIXED IND 22NH 250MA 820MOHM SMD</t>
  </si>
  <si>
    <t>FIXED IND 2.2UH 2.5A 87MOHM SMD</t>
  </si>
  <si>
    <t>LED GREEN CLEAR CHIP SMD</t>
  </si>
  <si>
    <t>LED RED CLEAR CHIP SMD</t>
  </si>
  <si>
    <t>MOSFET N/P-CH 20V SOT563</t>
  </si>
  <si>
    <t>MOSFET N-CH 20V 1A DFN1006-3</t>
  </si>
  <si>
    <t>MOSFET 2N-CH 30V 0.5A SOT563</t>
  </si>
  <si>
    <t>RES SMD 10K OHM 1% 1/20W 0201</t>
  </si>
  <si>
    <t>RES SMD 0 OHM JUMPER 1/20W 0201</t>
  </si>
  <si>
    <t>RES 0 OHM JUMPER 1/16W 0402</t>
  </si>
  <si>
    <t>RES 100K OHM 1% 1/20W 0201</t>
  </si>
  <si>
    <t>RES 1K OHM 1% 1/20W 0201</t>
  </si>
  <si>
    <t>RES 120 OHM 1% 1/16W 0402</t>
  </si>
  <si>
    <t>RES 1M OHM 1% 1/20W 0201</t>
  </si>
  <si>
    <t>RES SMD 47K OHM 0.1% 1/16W 0402</t>
  </si>
  <si>
    <t>RES 150K OHM 0.1% 1/16W 0402</t>
  </si>
  <si>
    <t>RES 4.7K OHM 1% 1/20W 0201</t>
  </si>
  <si>
    <t>SWITCH TACTILE SPST-NO 0.05A 12V</t>
  </si>
  <si>
    <t>GNSS Low-Noise Amplifier Front-End Module with Integrated Pre-Filter and Post-Filter</t>
  </si>
  <si>
    <t>IC RF TXRX + MCU CELL</t>
  </si>
  <si>
    <t>IC FLASH 256MBIT SPI/QUAD 8WSON</t>
  </si>
  <si>
    <t>E-SIM IC</t>
  </si>
  <si>
    <t>PMIC (POWER MANAGEMENT IC) WITH</t>
  </si>
  <si>
    <t>ACCEL 2-16G I2C/SPI 12LGA</t>
  </si>
  <si>
    <t>Footprint</t>
  </si>
  <si>
    <t>DSGP.1575.18.4.A.02</t>
  </si>
  <si>
    <t>P822601</t>
  </si>
  <si>
    <t>Cap-0402</t>
  </si>
  <si>
    <t>CAP-0201</t>
  </si>
  <si>
    <t>Cap-0603</t>
  </si>
  <si>
    <t>IND-0402</t>
  </si>
  <si>
    <t>IND-0603 (1608 Metric)</t>
  </si>
  <si>
    <t>U.FL-R-SMT-1(80)_</t>
  </si>
  <si>
    <t>MM8130-2600RA2</t>
  </si>
  <si>
    <t>HDR1X2_</t>
  </si>
  <si>
    <t>TC2030-IDC-NL_</t>
  </si>
  <si>
    <t>Pogo 4 Pin</t>
  </si>
  <si>
    <t>HDR 1x2 Male 1.27mm</t>
  </si>
  <si>
    <t>IND-0201</t>
  </si>
  <si>
    <t>IND-0806</t>
  </si>
  <si>
    <t>LED-0402</t>
  </si>
  <si>
    <t>SOT-563</t>
  </si>
  <si>
    <t>DFN1006-3</t>
  </si>
  <si>
    <t>Res-0201</t>
  </si>
  <si>
    <t>Res-0402</t>
  </si>
  <si>
    <t>B3U-1000P</t>
  </si>
  <si>
    <t>10-MCM (2.5x2.5)</t>
  </si>
  <si>
    <t>NRF9151-LACA-R</t>
  </si>
  <si>
    <t>8-WSON (8x6)</t>
  </si>
  <si>
    <t>MFFX</t>
  </si>
  <si>
    <t>32-QFN (5x5)</t>
  </si>
  <si>
    <t>12-LGA (2x2)</t>
  </si>
  <si>
    <t>Manufacturer Part Number</t>
  </si>
  <si>
    <t>DSGP.1575.18.4.C.02</t>
  </si>
  <si>
    <t>CC0402FRNPO9BN390</t>
  </si>
  <si>
    <t>CC0201GRNPO9BN101</t>
  </si>
  <si>
    <t>CC0201KRX5R6BB104</t>
  </si>
  <si>
    <t>CC0201MRX5R6BB105</t>
  </si>
  <si>
    <t>GRM188Z71A106KA73D</t>
  </si>
  <si>
    <t>GJM0335C1H3R5BB01D</t>
  </si>
  <si>
    <t>GCM0335C1E560JA16D</t>
  </si>
  <si>
    <t>CC0402KRX5R6BB475</t>
  </si>
  <si>
    <t>BLM15EX121SN1D</t>
  </si>
  <si>
    <t>BLM18SD220SN1D</t>
  </si>
  <si>
    <t>U.FL-R-SMT-1(80)</t>
  </si>
  <si>
    <t>X6511WV-02H-C60D30</t>
  </si>
  <si>
    <t>POGO Connector 4 Pin</t>
  </si>
  <si>
    <t>1.27-1*2P</t>
  </si>
  <si>
    <t>LQW15AN68NG00D</t>
  </si>
  <si>
    <t>LQW15AN9N1G00D</t>
  </si>
  <si>
    <t>LQP03HQ1N5B02D</t>
  </si>
  <si>
    <t>LQP03HQ22NH02D</t>
  </si>
  <si>
    <t>CIGT201610EH2R2MNE</t>
  </si>
  <si>
    <t>XZVG68W-2</t>
  </si>
  <si>
    <t>XZMDK68W-2</t>
  </si>
  <si>
    <t>DMC2400UV-7</t>
  </si>
  <si>
    <t>RV2C010UNT2L</t>
  </si>
  <si>
    <t>UM6X1NA-TP</t>
  </si>
  <si>
    <t>RC0201FR-0710KL</t>
  </si>
  <si>
    <t>RC0201JR-070RL</t>
  </si>
  <si>
    <t>RC0402FR-070RL</t>
  </si>
  <si>
    <t>RC0201FR-07100KL</t>
  </si>
  <si>
    <t>RC0201FR-071KL</t>
  </si>
  <si>
    <t>RC0402FR-07120RL</t>
  </si>
  <si>
    <t>RC0201FR-071ML</t>
  </si>
  <si>
    <t>RT0402BRE0747KL</t>
  </si>
  <si>
    <t>RT0402BRD07150KL</t>
  </si>
  <si>
    <t>RC0201FR-074K7L</t>
  </si>
  <si>
    <t>SKY65943-11</t>
  </si>
  <si>
    <t>GD25WB256EYIGY</t>
  </si>
  <si>
    <t>MFFX-M2M UICC</t>
  </si>
  <si>
    <t>NPM1300-QEAA-R</t>
  </si>
  <si>
    <t>LIS2DH12TR</t>
  </si>
  <si>
    <t>Manufacturer</t>
  </si>
  <si>
    <t>Taoglas</t>
  </si>
  <si>
    <t>AVX</t>
  </si>
  <si>
    <t>Yageo</t>
  </si>
  <si>
    <t>Murata</t>
  </si>
  <si>
    <t>Hirose</t>
  </si>
  <si>
    <t>XKB</t>
  </si>
  <si>
    <t>BOOMELE(BOOM Precision Elec)</t>
  </si>
  <si>
    <t>Samsung</t>
  </si>
  <si>
    <t>SunLED</t>
  </si>
  <si>
    <t>Diodes</t>
  </si>
  <si>
    <t>Rohm</t>
  </si>
  <si>
    <t>MCC</t>
  </si>
  <si>
    <t>Omron</t>
  </si>
  <si>
    <t>Skyworks</t>
  </si>
  <si>
    <t>Nordic Semiconductor</t>
  </si>
  <si>
    <t>GigaDevice</t>
  </si>
  <si>
    <t>-</t>
  </si>
  <si>
    <t>STMicroelectronics</t>
  </si>
  <si>
    <t>39pF</t>
  </si>
  <si>
    <t>DNP</t>
  </si>
  <si>
    <t>100pF</t>
  </si>
  <si>
    <t>100nF</t>
  </si>
  <si>
    <t>1uF</t>
  </si>
  <si>
    <t>10uF</t>
  </si>
  <si>
    <t>3.5pF</t>
  </si>
  <si>
    <t>4.7uF</t>
  </si>
  <si>
    <t>TC2030-IDC-NL</t>
  </si>
  <si>
    <t>68nH</t>
  </si>
  <si>
    <t>9.1nH</t>
  </si>
  <si>
    <t>1.5nH</t>
  </si>
  <si>
    <t>22nH</t>
  </si>
  <si>
    <t>2.2uH</t>
  </si>
  <si>
    <t>RED</t>
  </si>
  <si>
    <t>10K</t>
  </si>
  <si>
    <t>0R</t>
  </si>
  <si>
    <t>100K</t>
  </si>
  <si>
    <t>1K</t>
  </si>
  <si>
    <t>120R</t>
  </si>
  <si>
    <t>1M</t>
  </si>
  <si>
    <t>47K</t>
  </si>
  <si>
    <t>150K</t>
  </si>
  <si>
    <t>4.7K</t>
  </si>
  <si>
    <t>Quantity</t>
  </si>
  <si>
    <t>Peripheral</t>
  </si>
  <si>
    <t>TC2030-CTX 6-Pin Cable for ARM Cortex</t>
  </si>
  <si>
    <t>Tag-Connect</t>
  </si>
  <si>
    <t>Value</t>
  </si>
  <si>
    <t>Link</t>
  </si>
  <si>
    <t>Remarks</t>
  </si>
  <si>
    <t>CP802860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</si>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</sst>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6" fillId="0" borderId="10" xfId="0" applyFont="1" applyBorder="1" applyAlignment="1">
      <alignment horizontal="center"/>
    </xf>
    <xf numFmtId="0" fontId="7" fillId="2" borderId="10" xfId="1" applyFill="1" applyBorder="1" applyAlignment="1">
      <alignment horizontal="center" vertical="center" wrapText="1"/>
    </xf>
    <xf numFmtId="0" fontId="7" fillId="2" borderId="11" xfId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nhcb.com/uploads/file/cp802860-data-sheet-hcb20240529.pdf" TargetMode="External"/><Relationship Id="rId1" Type="http://schemas.openxmlformats.org/officeDocument/2006/relationships/hyperlink" Target="https://www.tag-connect.com/product/tc2030-ctx-6-pin-cable-for-arm-cor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2"/>
  <sheetViews>
    <sheetView tabSelected="1" topLeftCell="A31" workbookViewId="0">
      <selection activeCell="E60" sqref="E6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13.140625" customWidth="1"/>
    <col min="12" max="12" width="17.5703125" customWidth="1"/>
  </cols>
  <sheetData>
    <row r="1" spans="1:12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2" ht="15.75" thickBot="1" x14ac:dyDescent="0.3">
      <c r="A2" s="1"/>
      <c r="B2" s="5" t="s">
        <v>0</v>
      </c>
      <c r="C2" s="5" t="s">
        <v>1</v>
      </c>
      <c r="D2" s="5" t="s">
        <v>24</v>
      </c>
      <c r="E2" s="6" t="s">
        <v>73</v>
      </c>
      <c r="F2" s="5" t="s">
        <v>118</v>
      </c>
      <c r="G2" s="6" t="s">
        <v>146</v>
      </c>
      <c r="H2" s="5" t="s">
        <v>187</v>
      </c>
      <c r="I2" s="6" t="s">
        <v>234</v>
      </c>
      <c r="J2" s="5" t="s">
        <v>230</v>
      </c>
      <c r="K2" s="15" t="s">
        <v>235</v>
      </c>
      <c r="L2" s="15" t="s">
        <v>236</v>
      </c>
    </row>
    <row r="3" spans="1:12" ht="15.75" thickBot="1" x14ac:dyDescent="0.3">
      <c r="A3" s="1"/>
      <c r="B3" s="11">
        <f>ROW(B3) - ROW($B$2)</f>
        <v>1</v>
      </c>
      <c r="C3" s="12" t="s">
        <v>2</v>
      </c>
      <c r="D3" s="7" t="s">
        <v>25</v>
      </c>
      <c r="E3" s="8" t="s">
        <v>74</v>
      </c>
      <c r="F3" s="7" t="s">
        <v>119</v>
      </c>
      <c r="G3" s="8" t="s">
        <v>147</v>
      </c>
      <c r="H3" s="7" t="s">
        <v>188</v>
      </c>
      <c r="I3" s="8" t="s">
        <v>119</v>
      </c>
      <c r="J3" s="7">
        <v>1</v>
      </c>
      <c r="K3" s="16"/>
      <c r="L3" s="16"/>
    </row>
    <row r="4" spans="1:12" ht="15.75" thickBot="1" x14ac:dyDescent="0.3">
      <c r="A4" s="1"/>
      <c r="B4" s="11">
        <f t="shared" ref="B4:B52" si="0">ROW(B4) - ROW($B$2)</f>
        <v>2</v>
      </c>
      <c r="C4" s="13" t="s">
        <v>3</v>
      </c>
      <c r="D4" s="9" t="s">
        <v>26</v>
      </c>
      <c r="E4" s="10" t="s">
        <v>75</v>
      </c>
      <c r="F4" s="9" t="s">
        <v>120</v>
      </c>
      <c r="G4" s="10" t="s">
        <v>120</v>
      </c>
      <c r="H4" s="9" t="s">
        <v>189</v>
      </c>
      <c r="I4" s="10" t="s">
        <v>120</v>
      </c>
      <c r="J4" s="9">
        <v>1</v>
      </c>
      <c r="K4" s="17"/>
      <c r="L4" s="17"/>
    </row>
    <row r="5" spans="1:12" ht="15.75" thickBot="1" x14ac:dyDescent="0.3">
      <c r="A5" s="1"/>
      <c r="B5" s="11">
        <f>ROW(B5) - ROW($B$2)</f>
        <v>3</v>
      </c>
      <c r="C5" s="12" t="s">
        <v>4</v>
      </c>
      <c r="D5" s="7" t="s">
        <v>27</v>
      </c>
      <c r="E5" s="8" t="s">
        <v>76</v>
      </c>
      <c r="F5" s="7" t="s">
        <v>121</v>
      </c>
      <c r="G5" s="8" t="s">
        <v>148</v>
      </c>
      <c r="H5" s="7" t="s">
        <v>190</v>
      </c>
      <c r="I5" s="8" t="s">
        <v>206</v>
      </c>
      <c r="J5" s="7">
        <v>3</v>
      </c>
      <c r="K5" s="17"/>
      <c r="L5" s="17"/>
    </row>
    <row r="6" spans="1:12" ht="15.75" thickBot="1" x14ac:dyDescent="0.3">
      <c r="A6" s="1"/>
      <c r="B6" s="11">
        <f t="shared" si="0"/>
        <v>4</v>
      </c>
      <c r="C6" s="13" t="s">
        <v>4</v>
      </c>
      <c r="D6" s="9" t="s">
        <v>28</v>
      </c>
      <c r="E6" s="10" t="s">
        <v>76</v>
      </c>
      <c r="F6" s="9" t="s">
        <v>121</v>
      </c>
      <c r="G6" s="10" t="s">
        <v>148</v>
      </c>
      <c r="H6" s="9" t="s">
        <v>190</v>
      </c>
      <c r="I6" s="10" t="s">
        <v>207</v>
      </c>
      <c r="J6" s="9">
        <v>2</v>
      </c>
      <c r="K6" s="17"/>
      <c r="L6" s="17"/>
    </row>
    <row r="7" spans="1:12" ht="15.75" thickBot="1" x14ac:dyDescent="0.3">
      <c r="A7" s="1"/>
      <c r="B7" s="11">
        <f>ROW(B7) - ROW($B$2)</f>
        <v>5</v>
      </c>
      <c r="C7" s="12" t="s">
        <v>5</v>
      </c>
      <c r="D7" s="7" t="s">
        <v>29</v>
      </c>
      <c r="E7" s="8" t="s">
        <v>77</v>
      </c>
      <c r="F7" s="7" t="s">
        <v>122</v>
      </c>
      <c r="G7" s="8" t="s">
        <v>149</v>
      </c>
      <c r="H7" s="7" t="s">
        <v>190</v>
      </c>
      <c r="I7" s="8" t="s">
        <v>208</v>
      </c>
      <c r="J7" s="7">
        <v>2</v>
      </c>
      <c r="K7" s="17"/>
      <c r="L7" s="17"/>
    </row>
    <row r="8" spans="1:12" ht="15.75" thickBot="1" x14ac:dyDescent="0.3">
      <c r="A8" s="1"/>
      <c r="B8" s="11">
        <f t="shared" si="0"/>
        <v>6</v>
      </c>
      <c r="C8" s="12" t="s">
        <v>5</v>
      </c>
      <c r="D8" s="9" t="s">
        <v>30</v>
      </c>
      <c r="E8" s="10" t="s">
        <v>78</v>
      </c>
      <c r="F8" s="9" t="s">
        <v>122</v>
      </c>
      <c r="G8" s="10" t="s">
        <v>150</v>
      </c>
      <c r="H8" s="9" t="s">
        <v>190</v>
      </c>
      <c r="I8" s="10" t="s">
        <v>209</v>
      </c>
      <c r="J8" s="9">
        <v>7</v>
      </c>
      <c r="K8" s="17"/>
      <c r="L8" s="17"/>
    </row>
    <row r="9" spans="1:12" ht="15.75" thickBot="1" x14ac:dyDescent="0.3">
      <c r="A9" s="1"/>
      <c r="B9" s="11">
        <f>ROW(B9) - ROW($B$2)</f>
        <v>7</v>
      </c>
      <c r="C9" s="12" t="s">
        <v>4</v>
      </c>
      <c r="D9" s="7" t="s">
        <v>31</v>
      </c>
      <c r="E9" s="8" t="s">
        <v>79</v>
      </c>
      <c r="F9" s="7" t="s">
        <v>122</v>
      </c>
      <c r="G9" s="8" t="s">
        <v>151</v>
      </c>
      <c r="H9" s="7" t="s">
        <v>190</v>
      </c>
      <c r="I9" s="8" t="s">
        <v>210</v>
      </c>
      <c r="J9" s="7">
        <v>4</v>
      </c>
      <c r="K9" s="17"/>
      <c r="L9" s="17"/>
    </row>
    <row r="10" spans="1:12" ht="15.75" thickBot="1" x14ac:dyDescent="0.3">
      <c r="A10" s="1"/>
      <c r="B10" s="11">
        <f t="shared" si="0"/>
        <v>8</v>
      </c>
      <c r="C10" s="13" t="s">
        <v>4</v>
      </c>
      <c r="D10" s="9" t="s">
        <v>32</v>
      </c>
      <c r="E10" s="10" t="s">
        <v>80</v>
      </c>
      <c r="F10" s="9" t="s">
        <v>123</v>
      </c>
      <c r="G10" s="10" t="s">
        <v>152</v>
      </c>
      <c r="H10" s="9" t="s">
        <v>191</v>
      </c>
      <c r="I10" s="10" t="s">
        <v>211</v>
      </c>
      <c r="J10" s="9">
        <v>7</v>
      </c>
      <c r="K10" s="17"/>
      <c r="L10" s="18"/>
    </row>
    <row r="11" spans="1:12" ht="15.75" thickBot="1" x14ac:dyDescent="0.3">
      <c r="A11" s="1"/>
      <c r="B11" s="11">
        <f>ROW(B11) - ROW($B$2)</f>
        <v>9</v>
      </c>
      <c r="C11" s="12" t="s">
        <v>4</v>
      </c>
      <c r="D11" s="7" t="s">
        <v>33</v>
      </c>
      <c r="E11" s="8" t="s">
        <v>81</v>
      </c>
      <c r="F11" s="7" t="s">
        <v>122</v>
      </c>
      <c r="G11" s="8" t="s">
        <v>153</v>
      </c>
      <c r="H11" s="7" t="s">
        <v>191</v>
      </c>
      <c r="I11" s="8" t="s">
        <v>212</v>
      </c>
      <c r="J11" s="7">
        <v>1</v>
      </c>
      <c r="K11" s="19"/>
      <c r="L11" s="17"/>
    </row>
    <row r="12" spans="1:12" ht="15.75" thickBot="1" x14ac:dyDescent="0.3">
      <c r="A12" s="1"/>
      <c r="B12" s="11">
        <f t="shared" si="0"/>
        <v>10</v>
      </c>
      <c r="C12" s="13" t="s">
        <v>5</v>
      </c>
      <c r="D12" s="9" t="s">
        <v>34</v>
      </c>
      <c r="E12" s="10" t="s">
        <v>82</v>
      </c>
      <c r="F12" s="9" t="s">
        <v>122</v>
      </c>
      <c r="G12" s="10" t="s">
        <v>154</v>
      </c>
      <c r="H12" s="9" t="s">
        <v>191</v>
      </c>
      <c r="I12" s="10" t="s">
        <v>207</v>
      </c>
      <c r="J12" s="9">
        <v>3</v>
      </c>
      <c r="K12" s="17"/>
      <c r="L12" s="18"/>
    </row>
    <row r="13" spans="1:12" ht="15.75" thickBot="1" x14ac:dyDescent="0.3">
      <c r="A13" s="1"/>
      <c r="B13" s="11">
        <f>ROW(B13) - ROW($B$2)</f>
        <v>11</v>
      </c>
      <c r="C13" s="12" t="s">
        <v>5</v>
      </c>
      <c r="D13" s="7" t="s">
        <v>35</v>
      </c>
      <c r="E13" s="8" t="s">
        <v>83</v>
      </c>
      <c r="F13" s="7" t="s">
        <v>121</v>
      </c>
      <c r="G13" s="8" t="s">
        <v>155</v>
      </c>
      <c r="H13" s="7" t="s">
        <v>190</v>
      </c>
      <c r="I13" s="8" t="s">
        <v>213</v>
      </c>
      <c r="J13" s="7">
        <v>3</v>
      </c>
      <c r="K13" s="17"/>
      <c r="L13" s="18"/>
    </row>
    <row r="14" spans="1:12" ht="15.75" thickBot="1" x14ac:dyDescent="0.3">
      <c r="A14" s="1"/>
      <c r="B14" s="11">
        <f t="shared" si="0"/>
        <v>12</v>
      </c>
      <c r="C14" s="13" t="s">
        <v>6</v>
      </c>
      <c r="D14" s="9" t="s">
        <v>36</v>
      </c>
      <c r="E14" s="10" t="s">
        <v>84</v>
      </c>
      <c r="F14" s="9" t="s">
        <v>124</v>
      </c>
      <c r="G14" s="10" t="s">
        <v>156</v>
      </c>
      <c r="H14" s="9" t="s">
        <v>191</v>
      </c>
      <c r="I14" s="10" t="s">
        <v>156</v>
      </c>
      <c r="J14" s="9">
        <v>1</v>
      </c>
      <c r="K14" s="17"/>
      <c r="L14" s="17"/>
    </row>
    <row r="15" spans="1:12" ht="15.75" thickBot="1" x14ac:dyDescent="0.3">
      <c r="A15" s="1"/>
      <c r="B15" s="11">
        <f>ROW(B15) - ROW($B$2)</f>
        <v>13</v>
      </c>
      <c r="C15" s="12" t="s">
        <v>6</v>
      </c>
      <c r="D15" s="7" t="s">
        <v>37</v>
      </c>
      <c r="E15" s="8" t="s">
        <v>85</v>
      </c>
      <c r="F15" s="7" t="s">
        <v>125</v>
      </c>
      <c r="G15" s="8" t="s">
        <v>157</v>
      </c>
      <c r="H15" s="7" t="s">
        <v>191</v>
      </c>
      <c r="I15" s="8" t="s">
        <v>157</v>
      </c>
      <c r="J15" s="7">
        <v>1</v>
      </c>
      <c r="K15" s="17"/>
      <c r="L15" s="17"/>
    </row>
    <row r="16" spans="1:12" ht="15.75" thickBot="1" x14ac:dyDescent="0.3">
      <c r="A16" s="1"/>
      <c r="B16" s="11">
        <f t="shared" si="0"/>
        <v>14</v>
      </c>
      <c r="C16" s="13" t="s">
        <v>7</v>
      </c>
      <c r="D16" s="9" t="s">
        <v>38</v>
      </c>
      <c r="E16" s="10" t="s">
        <v>86</v>
      </c>
      <c r="F16" s="9" t="s">
        <v>126</v>
      </c>
      <c r="G16" s="10" t="s">
        <v>158</v>
      </c>
      <c r="H16" s="9" t="s">
        <v>192</v>
      </c>
      <c r="I16" s="10" t="s">
        <v>158</v>
      </c>
      <c r="J16" s="9">
        <v>1</v>
      </c>
      <c r="K16" s="17"/>
      <c r="L16" s="17"/>
    </row>
    <row r="17" spans="1:12" ht="26.25" thickBot="1" x14ac:dyDescent="0.3">
      <c r="A17" s="1"/>
      <c r="B17" s="11">
        <f>ROW(B17) - ROW($B$2)</f>
        <v>15</v>
      </c>
      <c r="C17" s="12" t="s">
        <v>8</v>
      </c>
      <c r="D17" s="7" t="s">
        <v>39</v>
      </c>
      <c r="E17" s="8" t="s">
        <v>87</v>
      </c>
      <c r="F17" s="7" t="s">
        <v>127</v>
      </c>
      <c r="G17" s="8" t="s">
        <v>127</v>
      </c>
      <c r="H17" s="7" t="s">
        <v>191</v>
      </c>
      <c r="I17" s="8" t="s">
        <v>127</v>
      </c>
      <c r="J17" s="7">
        <v>1</v>
      </c>
      <c r="K17" s="17"/>
      <c r="L17" s="17"/>
    </row>
    <row r="18" spans="1:12" ht="48.75" thickBot="1" x14ac:dyDescent="0.3">
      <c r="A18" s="1"/>
      <c r="B18" s="11">
        <f t="shared" si="0"/>
        <v>16</v>
      </c>
      <c r="C18" s="13" t="s">
        <v>9</v>
      </c>
      <c r="D18" s="9" t="s">
        <v>40</v>
      </c>
      <c r="E18" s="10" t="s">
        <v>88</v>
      </c>
      <c r="F18" s="9" t="s">
        <v>128</v>
      </c>
      <c r="G18" s="10" t="s">
        <v>159</v>
      </c>
      <c r="H18" s="9" t="s">
        <v>193</v>
      </c>
      <c r="I18" s="10" t="s">
        <v>159</v>
      </c>
      <c r="J18" s="9">
        <v>1</v>
      </c>
      <c r="K18" s="17"/>
      <c r="L18" s="17"/>
    </row>
    <row r="19" spans="1:12" ht="15.75" thickBot="1" x14ac:dyDescent="0.3">
      <c r="A19" s="1"/>
      <c r="B19" s="11">
        <f>ROW(B19) - ROW($B$2)</f>
        <v>17</v>
      </c>
      <c r="C19" s="12"/>
      <c r="D19" s="7" t="s">
        <v>41</v>
      </c>
      <c r="E19" s="8"/>
      <c r="F19" s="7" t="s">
        <v>129</v>
      </c>
      <c r="G19" s="8"/>
      <c r="H19" s="7"/>
      <c r="I19" s="8" t="s">
        <v>214</v>
      </c>
      <c r="J19" s="7">
        <v>1</v>
      </c>
      <c r="K19" s="17"/>
      <c r="L19" s="17"/>
    </row>
    <row r="20" spans="1:12" ht="15.75" thickBot="1" x14ac:dyDescent="0.3">
      <c r="A20" s="1"/>
      <c r="B20" s="11">
        <f t="shared" si="0"/>
        <v>18</v>
      </c>
      <c r="C20" s="13" t="s">
        <v>10</v>
      </c>
      <c r="D20" s="9" t="s">
        <v>42</v>
      </c>
      <c r="E20" s="10" t="s">
        <v>89</v>
      </c>
      <c r="F20" s="9" t="s">
        <v>130</v>
      </c>
      <c r="G20" s="10" t="s">
        <v>160</v>
      </c>
      <c r="H20" s="9"/>
      <c r="I20" s="10" t="s">
        <v>160</v>
      </c>
      <c r="J20" s="9">
        <v>1</v>
      </c>
      <c r="K20" s="17"/>
      <c r="L20" s="17"/>
    </row>
    <row r="21" spans="1:12" ht="48.75" thickBot="1" x14ac:dyDescent="0.3">
      <c r="A21" s="1"/>
      <c r="B21" s="11">
        <f>ROW(B21) - ROW($B$2)</f>
        <v>19</v>
      </c>
      <c r="C21" s="12" t="s">
        <v>11</v>
      </c>
      <c r="D21" s="7" t="s">
        <v>43</v>
      </c>
      <c r="E21" s="8" t="s">
        <v>90</v>
      </c>
      <c r="F21" s="7" t="s">
        <v>131</v>
      </c>
      <c r="G21" s="8" t="s">
        <v>161</v>
      </c>
      <c r="H21" s="7" t="s">
        <v>194</v>
      </c>
      <c r="I21" s="8" t="s">
        <v>161</v>
      </c>
      <c r="J21" s="7">
        <v>1</v>
      </c>
      <c r="K21" s="17"/>
      <c r="L21" s="17"/>
    </row>
    <row r="22" spans="1:12" ht="24.75" thickBot="1" x14ac:dyDescent="0.3">
      <c r="A22" s="1"/>
      <c r="B22" s="11">
        <f t="shared" si="0"/>
        <v>20</v>
      </c>
      <c r="C22" s="13" t="s">
        <v>12</v>
      </c>
      <c r="D22" s="9" t="s">
        <v>44</v>
      </c>
      <c r="E22" s="10" t="s">
        <v>91</v>
      </c>
      <c r="F22" s="9" t="s">
        <v>124</v>
      </c>
      <c r="G22" s="10" t="s">
        <v>162</v>
      </c>
      <c r="H22" s="9" t="s">
        <v>191</v>
      </c>
      <c r="I22" s="10" t="s">
        <v>215</v>
      </c>
      <c r="J22" s="9">
        <v>1</v>
      </c>
      <c r="K22" s="17"/>
      <c r="L22" s="17"/>
    </row>
    <row r="23" spans="1:12" ht="15.75" thickBot="1" x14ac:dyDescent="0.3">
      <c r="A23" s="1"/>
      <c r="B23" s="11">
        <f>ROW(B23) - ROW($B$2)</f>
        <v>21</v>
      </c>
      <c r="C23" s="12" t="s">
        <v>13</v>
      </c>
      <c r="D23" s="7" t="s">
        <v>45</v>
      </c>
      <c r="E23" s="8" t="s">
        <v>92</v>
      </c>
      <c r="F23" s="7" t="s">
        <v>124</v>
      </c>
      <c r="G23" s="8" t="s">
        <v>163</v>
      </c>
      <c r="H23" s="7" t="s">
        <v>191</v>
      </c>
      <c r="I23" s="8" t="s">
        <v>216</v>
      </c>
      <c r="J23" s="7">
        <v>1</v>
      </c>
      <c r="K23" s="17"/>
      <c r="L23" s="17"/>
    </row>
    <row r="24" spans="1:12" ht="15.75" thickBot="1" x14ac:dyDescent="0.3">
      <c r="A24" s="1"/>
      <c r="B24" s="11">
        <f t="shared" si="0"/>
        <v>22</v>
      </c>
      <c r="C24" s="13" t="s">
        <v>12</v>
      </c>
      <c r="D24" s="9" t="s">
        <v>46</v>
      </c>
      <c r="E24" s="10" t="s">
        <v>93</v>
      </c>
      <c r="F24" s="9" t="s">
        <v>132</v>
      </c>
      <c r="G24" s="10" t="s">
        <v>164</v>
      </c>
      <c r="H24" s="9" t="s">
        <v>191</v>
      </c>
      <c r="I24" s="10" t="s">
        <v>217</v>
      </c>
      <c r="J24" s="9">
        <v>1</v>
      </c>
      <c r="K24" s="17"/>
      <c r="L24" s="17"/>
    </row>
    <row r="25" spans="1:12" ht="24.75" thickBot="1" x14ac:dyDescent="0.3">
      <c r="A25" s="1"/>
      <c r="B25" s="11">
        <f>ROW(B25) - ROW($B$2)</f>
        <v>23</v>
      </c>
      <c r="C25" s="12" t="s">
        <v>14</v>
      </c>
      <c r="D25" s="7" t="s">
        <v>47</v>
      </c>
      <c r="E25" s="8" t="s">
        <v>94</v>
      </c>
      <c r="F25" s="7" t="s">
        <v>132</v>
      </c>
      <c r="G25" s="8" t="s">
        <v>165</v>
      </c>
      <c r="H25" s="7" t="s">
        <v>191</v>
      </c>
      <c r="I25" s="8" t="s">
        <v>218</v>
      </c>
      <c r="J25" s="7">
        <v>1</v>
      </c>
      <c r="K25" s="17"/>
      <c r="L25" s="17"/>
    </row>
    <row r="26" spans="1:12" ht="15.75" thickBot="1" x14ac:dyDescent="0.3">
      <c r="A26" s="1"/>
      <c r="B26" s="11">
        <f t="shared" si="0"/>
        <v>24</v>
      </c>
      <c r="C26" s="13" t="s">
        <v>12</v>
      </c>
      <c r="D26" s="9" t="s">
        <v>48</v>
      </c>
      <c r="E26" s="10" t="s">
        <v>95</v>
      </c>
      <c r="F26" s="9" t="s">
        <v>133</v>
      </c>
      <c r="G26" s="10" t="s">
        <v>166</v>
      </c>
      <c r="H26" s="9" t="s">
        <v>195</v>
      </c>
      <c r="I26" s="10" t="s">
        <v>219</v>
      </c>
      <c r="J26" s="9">
        <v>2</v>
      </c>
      <c r="K26" s="17"/>
      <c r="L26" s="17"/>
    </row>
    <row r="27" spans="1:12" ht="15.75" thickBot="1" x14ac:dyDescent="0.3">
      <c r="A27" s="1"/>
      <c r="B27" s="11">
        <f>ROW(B27) - ROW($B$2)</f>
        <v>25</v>
      </c>
      <c r="C27" s="12" t="s">
        <v>15</v>
      </c>
      <c r="D27" s="7" t="s">
        <v>49</v>
      </c>
      <c r="E27" s="8" t="s">
        <v>96</v>
      </c>
      <c r="F27" s="7" t="s">
        <v>134</v>
      </c>
      <c r="G27" s="8" t="s">
        <v>167</v>
      </c>
      <c r="H27" s="7" t="s">
        <v>196</v>
      </c>
      <c r="I27" s="8" t="s">
        <v>167</v>
      </c>
      <c r="J27" s="7">
        <v>1</v>
      </c>
      <c r="K27" s="17"/>
      <c r="L27" s="17"/>
    </row>
    <row r="28" spans="1:12" ht="15.75" thickBot="1" x14ac:dyDescent="0.3">
      <c r="A28" s="1"/>
      <c r="B28" s="11">
        <f t="shared" si="0"/>
        <v>26</v>
      </c>
      <c r="C28" s="13" t="s">
        <v>15</v>
      </c>
      <c r="D28" s="9" t="s">
        <v>50</v>
      </c>
      <c r="E28" s="10" t="s">
        <v>97</v>
      </c>
      <c r="F28" s="9" t="s">
        <v>134</v>
      </c>
      <c r="G28" s="10" t="s">
        <v>168</v>
      </c>
      <c r="H28" s="9" t="s">
        <v>196</v>
      </c>
      <c r="I28" s="10" t="s">
        <v>220</v>
      </c>
      <c r="J28" s="9">
        <v>2</v>
      </c>
      <c r="K28" s="17"/>
      <c r="L28" s="17"/>
    </row>
    <row r="29" spans="1:12" ht="15.75" thickBot="1" x14ac:dyDescent="0.3">
      <c r="A29" s="1"/>
      <c r="B29" s="11">
        <f>ROW(B29) - ROW($B$2)</f>
        <v>27</v>
      </c>
      <c r="C29" s="12" t="s">
        <v>16</v>
      </c>
      <c r="D29" s="7" t="s">
        <v>51</v>
      </c>
      <c r="E29" s="8" t="s">
        <v>98</v>
      </c>
      <c r="F29" s="7" t="s">
        <v>135</v>
      </c>
      <c r="G29" s="8" t="s">
        <v>169</v>
      </c>
      <c r="H29" s="7" t="s">
        <v>197</v>
      </c>
      <c r="I29" s="8" t="s">
        <v>169</v>
      </c>
      <c r="J29" s="7">
        <v>1</v>
      </c>
      <c r="K29" s="17"/>
      <c r="L29" s="17"/>
    </row>
    <row r="30" spans="1:12" ht="15.75" thickBot="1" x14ac:dyDescent="0.3">
      <c r="A30" s="1"/>
      <c r="B30" s="11">
        <f t="shared" si="0"/>
        <v>28</v>
      </c>
      <c r="C30" s="13" t="s">
        <v>16</v>
      </c>
      <c r="D30" s="9" t="s">
        <v>52</v>
      </c>
      <c r="E30" s="10" t="s">
        <v>99</v>
      </c>
      <c r="F30" s="9" t="s">
        <v>136</v>
      </c>
      <c r="G30" s="10" t="s">
        <v>170</v>
      </c>
      <c r="H30" s="9" t="s">
        <v>198</v>
      </c>
      <c r="I30" s="10" t="s">
        <v>170</v>
      </c>
      <c r="J30" s="9">
        <v>1</v>
      </c>
      <c r="K30" s="17"/>
      <c r="L30" s="17"/>
    </row>
    <row r="31" spans="1:12" ht="15.75" thickBot="1" x14ac:dyDescent="0.3">
      <c r="A31" s="1"/>
      <c r="B31" s="11">
        <f>ROW(B31) - ROW($B$2)</f>
        <v>29</v>
      </c>
      <c r="C31" s="12" t="s">
        <v>17</v>
      </c>
      <c r="D31" s="7" t="s">
        <v>53</v>
      </c>
      <c r="E31" s="8" t="s">
        <v>100</v>
      </c>
      <c r="F31" s="7" t="s">
        <v>135</v>
      </c>
      <c r="G31" s="8" t="s">
        <v>171</v>
      </c>
      <c r="H31" s="7" t="s">
        <v>199</v>
      </c>
      <c r="I31" s="8" t="s">
        <v>171</v>
      </c>
      <c r="J31" s="7">
        <v>1</v>
      </c>
      <c r="K31" s="17"/>
      <c r="L31" s="17"/>
    </row>
    <row r="32" spans="1:12" ht="15.75" thickBot="1" x14ac:dyDescent="0.3">
      <c r="A32" s="1"/>
      <c r="B32" s="11">
        <f t="shared" si="0"/>
        <v>30</v>
      </c>
      <c r="C32" s="13" t="s">
        <v>18</v>
      </c>
      <c r="D32" s="9" t="s">
        <v>54</v>
      </c>
      <c r="E32" s="10" t="s">
        <v>101</v>
      </c>
      <c r="F32" s="9" t="s">
        <v>137</v>
      </c>
      <c r="G32" s="10" t="s">
        <v>172</v>
      </c>
      <c r="H32" s="9" t="s">
        <v>190</v>
      </c>
      <c r="I32" s="10" t="s">
        <v>221</v>
      </c>
      <c r="J32" s="9">
        <v>2</v>
      </c>
      <c r="K32" s="20"/>
      <c r="L32" s="17"/>
    </row>
    <row r="33" spans="1:12" ht="15.75" thickBot="1" x14ac:dyDescent="0.3">
      <c r="A33" s="1"/>
      <c r="B33" s="11">
        <f>ROW(B33) - ROW($B$2)</f>
        <v>31</v>
      </c>
      <c r="C33" s="12"/>
      <c r="D33" s="7" t="s">
        <v>55</v>
      </c>
      <c r="E33" s="8" t="s">
        <v>102</v>
      </c>
      <c r="F33" s="7" t="s">
        <v>137</v>
      </c>
      <c r="G33" s="8" t="s">
        <v>173</v>
      </c>
      <c r="H33" s="7" t="s">
        <v>190</v>
      </c>
      <c r="I33" s="8" t="s">
        <v>207</v>
      </c>
      <c r="J33" s="7">
        <v>2</v>
      </c>
      <c r="K33" s="7"/>
      <c r="L33" s="7"/>
    </row>
    <row r="34" spans="1:12" ht="15.75" thickBot="1" x14ac:dyDescent="0.3">
      <c r="A34" s="1"/>
      <c r="B34" s="11">
        <f t="shared" si="0"/>
        <v>32</v>
      </c>
      <c r="C34" s="13" t="s">
        <v>19</v>
      </c>
      <c r="D34" s="9" t="s">
        <v>56</v>
      </c>
      <c r="E34" s="10" t="s">
        <v>103</v>
      </c>
      <c r="F34" s="9" t="s">
        <v>138</v>
      </c>
      <c r="G34" s="10" t="s">
        <v>174</v>
      </c>
      <c r="H34" s="9" t="s">
        <v>190</v>
      </c>
      <c r="I34" s="10" t="s">
        <v>222</v>
      </c>
      <c r="J34" s="9">
        <v>5</v>
      </c>
      <c r="K34" s="9"/>
      <c r="L34" s="9"/>
    </row>
    <row r="35" spans="1:12" ht="15.75" thickBot="1" x14ac:dyDescent="0.3">
      <c r="A35" s="1"/>
      <c r="B35" s="11">
        <f>ROW(B35) - ROW($B$2)</f>
        <v>33</v>
      </c>
      <c r="C35" s="12" t="s">
        <v>18</v>
      </c>
      <c r="D35" s="7" t="s">
        <v>57</v>
      </c>
      <c r="E35" s="8" t="s">
        <v>104</v>
      </c>
      <c r="F35" s="7" t="s">
        <v>137</v>
      </c>
      <c r="G35" s="8" t="s">
        <v>175</v>
      </c>
      <c r="H35" s="7" t="s">
        <v>190</v>
      </c>
      <c r="I35" s="8" t="s">
        <v>223</v>
      </c>
      <c r="J35" s="7">
        <v>2</v>
      </c>
      <c r="K35" s="7"/>
      <c r="L35" s="7"/>
    </row>
    <row r="36" spans="1:12" ht="24.75" thickBot="1" x14ac:dyDescent="0.3">
      <c r="A36" s="1"/>
      <c r="B36" s="11">
        <f t="shared" si="0"/>
        <v>34</v>
      </c>
      <c r="C36" s="13" t="s">
        <v>19</v>
      </c>
      <c r="D36" s="9" t="s">
        <v>58</v>
      </c>
      <c r="E36" s="10" t="s">
        <v>102</v>
      </c>
      <c r="F36" s="9" t="s">
        <v>137</v>
      </c>
      <c r="G36" s="10" t="s">
        <v>173</v>
      </c>
      <c r="H36" s="9" t="s">
        <v>190</v>
      </c>
      <c r="I36" s="10" t="s">
        <v>222</v>
      </c>
      <c r="J36" s="9">
        <v>12</v>
      </c>
      <c r="K36" s="9"/>
      <c r="L36" s="9"/>
    </row>
    <row r="37" spans="1:12" ht="15.75" thickBot="1" x14ac:dyDescent="0.3">
      <c r="A37" s="1"/>
      <c r="B37" s="11">
        <f>ROW(B37) - ROW($B$2)</f>
        <v>35</v>
      </c>
      <c r="C37" s="12" t="s">
        <v>18</v>
      </c>
      <c r="D37" s="7" t="s">
        <v>59</v>
      </c>
      <c r="E37" s="8" t="s">
        <v>105</v>
      </c>
      <c r="F37" s="7" t="s">
        <v>137</v>
      </c>
      <c r="G37" s="8" t="s">
        <v>176</v>
      </c>
      <c r="H37" s="7" t="s">
        <v>190</v>
      </c>
      <c r="I37" s="8" t="s">
        <v>224</v>
      </c>
      <c r="J37" s="7">
        <v>2</v>
      </c>
      <c r="K37" s="7"/>
      <c r="L37" s="7"/>
    </row>
    <row r="38" spans="1:12" ht="15.75" thickBot="1" x14ac:dyDescent="0.3">
      <c r="A38" s="1"/>
      <c r="B38" s="11">
        <f t="shared" si="0"/>
        <v>36</v>
      </c>
      <c r="C38" s="13" t="s">
        <v>19</v>
      </c>
      <c r="D38" s="9" t="s">
        <v>60</v>
      </c>
      <c r="E38" s="10" t="s">
        <v>103</v>
      </c>
      <c r="F38" s="9" t="s">
        <v>138</v>
      </c>
      <c r="G38" s="10" t="s">
        <v>174</v>
      </c>
      <c r="H38" s="9" t="s">
        <v>190</v>
      </c>
      <c r="I38" s="10" t="s">
        <v>207</v>
      </c>
      <c r="J38" s="9">
        <v>1</v>
      </c>
      <c r="K38" s="9"/>
      <c r="L38" s="9"/>
    </row>
    <row r="39" spans="1:12" ht="15.75" thickBot="1" x14ac:dyDescent="0.3">
      <c r="A39" s="1"/>
      <c r="B39" s="11">
        <f>ROW(B39) - ROW($B$2)</f>
        <v>37</v>
      </c>
      <c r="C39" s="12" t="s">
        <v>19</v>
      </c>
      <c r="D39" s="7" t="s">
        <v>61</v>
      </c>
      <c r="E39" s="8" t="s">
        <v>106</v>
      </c>
      <c r="F39" s="7" t="s">
        <v>138</v>
      </c>
      <c r="G39" s="8" t="s">
        <v>177</v>
      </c>
      <c r="H39" s="7" t="s">
        <v>190</v>
      </c>
      <c r="I39" s="8" t="s">
        <v>225</v>
      </c>
      <c r="J39" s="7">
        <v>3</v>
      </c>
      <c r="K39" s="7"/>
      <c r="L39" s="7"/>
    </row>
    <row r="40" spans="1:12" ht="15.75" thickBot="1" x14ac:dyDescent="0.3">
      <c r="A40" s="1"/>
      <c r="B40" s="11">
        <f t="shared" si="0"/>
        <v>38</v>
      </c>
      <c r="C40" s="13" t="s">
        <v>18</v>
      </c>
      <c r="D40" s="9" t="s">
        <v>62</v>
      </c>
      <c r="E40" s="10" t="s">
        <v>107</v>
      </c>
      <c r="F40" s="9" t="s">
        <v>137</v>
      </c>
      <c r="G40" s="10" t="s">
        <v>178</v>
      </c>
      <c r="H40" s="9" t="s">
        <v>190</v>
      </c>
      <c r="I40" s="10" t="s">
        <v>226</v>
      </c>
      <c r="J40" s="9">
        <v>2</v>
      </c>
      <c r="K40" s="9"/>
      <c r="L40" s="9"/>
    </row>
    <row r="41" spans="1:12" ht="15.75" thickBot="1" x14ac:dyDescent="0.3">
      <c r="A41" s="1"/>
      <c r="B41" s="11">
        <f>ROW(B41) - ROW($B$2)</f>
        <v>39</v>
      </c>
      <c r="C41" s="12" t="s">
        <v>18</v>
      </c>
      <c r="D41" s="7" t="s">
        <v>63</v>
      </c>
      <c r="E41" s="8" t="s">
        <v>108</v>
      </c>
      <c r="F41" s="7" t="s">
        <v>138</v>
      </c>
      <c r="G41" s="8" t="s">
        <v>179</v>
      </c>
      <c r="H41" s="7" t="s">
        <v>190</v>
      </c>
      <c r="I41" s="8" t="s">
        <v>227</v>
      </c>
      <c r="J41" s="7">
        <v>1</v>
      </c>
      <c r="K41" s="7"/>
      <c r="L41" s="7"/>
    </row>
    <row r="42" spans="1:12" ht="15.75" thickBot="1" x14ac:dyDescent="0.3">
      <c r="A42" s="1"/>
      <c r="B42" s="11">
        <f t="shared" si="0"/>
        <v>40</v>
      </c>
      <c r="C42" s="13" t="s">
        <v>18</v>
      </c>
      <c r="D42" s="9" t="s">
        <v>64</v>
      </c>
      <c r="E42" s="10" t="s">
        <v>109</v>
      </c>
      <c r="F42" s="9" t="s">
        <v>138</v>
      </c>
      <c r="G42" s="10" t="s">
        <v>180</v>
      </c>
      <c r="H42" s="9" t="s">
        <v>190</v>
      </c>
      <c r="I42" s="10" t="s">
        <v>228</v>
      </c>
      <c r="J42" s="9">
        <v>1</v>
      </c>
      <c r="K42" s="9"/>
      <c r="L42" s="9"/>
    </row>
    <row r="43" spans="1:12" ht="15.75" thickBot="1" x14ac:dyDescent="0.3">
      <c r="A43" s="1"/>
      <c r="B43" s="11">
        <f>ROW(B43) - ROW($B$2)</f>
        <v>41</v>
      </c>
      <c r="C43" s="12" t="s">
        <v>18</v>
      </c>
      <c r="D43" s="7" t="s">
        <v>65</v>
      </c>
      <c r="E43" s="8" t="s">
        <v>110</v>
      </c>
      <c r="F43" s="7" t="s">
        <v>137</v>
      </c>
      <c r="G43" s="8" t="s">
        <v>181</v>
      </c>
      <c r="H43" s="7" t="s">
        <v>190</v>
      </c>
      <c r="I43" s="8" t="s">
        <v>229</v>
      </c>
      <c r="J43" s="7">
        <v>4</v>
      </c>
      <c r="K43" s="7"/>
      <c r="L43" s="7"/>
    </row>
    <row r="44" spans="1:12" ht="15.75" thickBot="1" x14ac:dyDescent="0.3">
      <c r="A44" s="1"/>
      <c r="B44" s="11">
        <f t="shared" si="0"/>
        <v>42</v>
      </c>
      <c r="C44" s="13" t="s">
        <v>20</v>
      </c>
      <c r="D44" s="9" t="s">
        <v>66</v>
      </c>
      <c r="E44" s="10" t="s">
        <v>111</v>
      </c>
      <c r="F44" s="9" t="s">
        <v>139</v>
      </c>
      <c r="G44" s="10" t="s">
        <v>139</v>
      </c>
      <c r="H44" s="9" t="s">
        <v>200</v>
      </c>
      <c r="I44" s="10" t="s">
        <v>139</v>
      </c>
      <c r="J44" s="9">
        <v>1</v>
      </c>
      <c r="K44" s="9"/>
      <c r="L44" s="9"/>
    </row>
    <row r="45" spans="1:12" ht="36.75" thickBot="1" x14ac:dyDescent="0.3">
      <c r="A45" s="1"/>
      <c r="B45" s="11">
        <f>ROW(B45) - ROW($B$2)</f>
        <v>43</v>
      </c>
      <c r="C45" s="12" t="s">
        <v>21</v>
      </c>
      <c r="D45" s="7" t="s">
        <v>67</v>
      </c>
      <c r="E45" s="8" t="s">
        <v>112</v>
      </c>
      <c r="F45" s="7" t="s">
        <v>140</v>
      </c>
      <c r="G45" s="8" t="s">
        <v>182</v>
      </c>
      <c r="H45" s="7" t="s">
        <v>201</v>
      </c>
      <c r="I45" s="8" t="s">
        <v>182</v>
      </c>
      <c r="J45" s="7">
        <v>1</v>
      </c>
      <c r="K45" s="7"/>
      <c r="L45" s="7"/>
    </row>
    <row r="46" spans="1:12" ht="15.75" thickBot="1" x14ac:dyDescent="0.3">
      <c r="A46" s="1"/>
      <c r="B46" s="11">
        <f t="shared" si="0"/>
        <v>44</v>
      </c>
      <c r="C46" s="12" t="s">
        <v>22</v>
      </c>
      <c r="D46" s="9" t="s">
        <v>68</v>
      </c>
      <c r="E46" s="10" t="s">
        <v>113</v>
      </c>
      <c r="F46" s="9" t="s">
        <v>141</v>
      </c>
      <c r="G46" s="10" t="s">
        <v>141</v>
      </c>
      <c r="H46" s="9" t="s">
        <v>202</v>
      </c>
      <c r="I46" s="10" t="s">
        <v>141</v>
      </c>
      <c r="J46" s="9">
        <v>1</v>
      </c>
      <c r="K46" s="9"/>
      <c r="L46" s="9"/>
    </row>
    <row r="47" spans="1:12" ht="15.75" thickBot="1" x14ac:dyDescent="0.3">
      <c r="A47" s="1"/>
      <c r="B47" s="11">
        <f>ROW(B47) - ROW($B$2)</f>
        <v>45</v>
      </c>
      <c r="C47" s="12" t="s">
        <v>22</v>
      </c>
      <c r="D47" s="7" t="s">
        <v>69</v>
      </c>
      <c r="E47" s="8" t="s">
        <v>114</v>
      </c>
      <c r="F47" s="7" t="s">
        <v>142</v>
      </c>
      <c r="G47" s="8" t="s">
        <v>183</v>
      </c>
      <c r="H47" s="7" t="s">
        <v>203</v>
      </c>
      <c r="I47" s="8" t="s">
        <v>183</v>
      </c>
      <c r="J47" s="7">
        <v>1</v>
      </c>
      <c r="K47" s="7"/>
      <c r="L47" s="7"/>
    </row>
    <row r="48" spans="1:12" ht="15.75" thickBot="1" x14ac:dyDescent="0.3">
      <c r="A48" s="1"/>
      <c r="B48" s="11">
        <f t="shared" si="0"/>
        <v>46</v>
      </c>
      <c r="C48" s="13" t="s">
        <v>22</v>
      </c>
      <c r="D48" s="9" t="s">
        <v>70</v>
      </c>
      <c r="E48" s="10" t="s">
        <v>115</v>
      </c>
      <c r="F48" s="9" t="s">
        <v>143</v>
      </c>
      <c r="G48" s="10" t="s">
        <v>184</v>
      </c>
      <c r="H48" s="9" t="s">
        <v>204</v>
      </c>
      <c r="I48" s="10" t="s">
        <v>184</v>
      </c>
      <c r="J48" s="9">
        <v>1</v>
      </c>
      <c r="K48" s="9"/>
      <c r="L48" s="9"/>
    </row>
    <row r="49" spans="1:12" ht="24.75" thickBot="1" x14ac:dyDescent="0.3">
      <c r="A49" s="1"/>
      <c r="B49" s="11">
        <f>ROW(B49) - ROW($B$2)</f>
        <v>47</v>
      </c>
      <c r="C49" s="12" t="s">
        <v>22</v>
      </c>
      <c r="D49" s="7" t="s">
        <v>71</v>
      </c>
      <c r="E49" s="8" t="s">
        <v>116</v>
      </c>
      <c r="F49" s="7" t="s">
        <v>144</v>
      </c>
      <c r="G49" s="8" t="s">
        <v>185</v>
      </c>
      <c r="H49" s="7" t="s">
        <v>202</v>
      </c>
      <c r="I49" s="8" t="s">
        <v>185</v>
      </c>
      <c r="J49" s="7">
        <v>1</v>
      </c>
      <c r="K49" s="7"/>
      <c r="L49" s="7"/>
    </row>
    <row r="50" spans="1:12" ht="15.75" thickBot="1" x14ac:dyDescent="0.3">
      <c r="A50" s="1"/>
      <c r="B50" s="11">
        <f t="shared" si="0"/>
        <v>48</v>
      </c>
      <c r="C50" s="13" t="s">
        <v>23</v>
      </c>
      <c r="D50" s="9" t="s">
        <v>72</v>
      </c>
      <c r="E50" s="10" t="s">
        <v>117</v>
      </c>
      <c r="F50" s="9" t="s">
        <v>145</v>
      </c>
      <c r="G50" s="10" t="s">
        <v>186</v>
      </c>
      <c r="H50" s="9" t="s">
        <v>205</v>
      </c>
      <c r="I50" s="10" t="s">
        <v>186</v>
      </c>
      <c r="J50" s="9">
        <v>1</v>
      </c>
      <c r="K50" s="9"/>
      <c r="L50" s="9"/>
    </row>
    <row r="51" spans="1:12" ht="15.75" thickBot="1" x14ac:dyDescent="0.3">
      <c r="B51" s="11">
        <f t="shared" si="0"/>
        <v>49</v>
      </c>
      <c r="C51" s="21" t="s">
        <v>231</v>
      </c>
      <c r="D51" s="7" t="s">
        <v>238</v>
      </c>
      <c r="E51" s="8" t="s">
        <v>237</v>
      </c>
      <c r="F51" s="7" t="s">
        <v>204</v>
      </c>
      <c r="G51" s="7" t="s">
        <v>204</v>
      </c>
      <c r="H51" s="7" t="s">
        <v>204</v>
      </c>
      <c r="I51" s="7" t="s">
        <v>204</v>
      </c>
      <c r="J51" s="7">
        <v>1</v>
      </c>
      <c r="K51" s="22" t="s">
        <v>238</v>
      </c>
      <c r="L51" s="7"/>
    </row>
    <row r="52" spans="1:12" ht="24.75" thickBot="1" x14ac:dyDescent="0.3">
      <c r="B52" s="11">
        <f t="shared" si="0"/>
        <v>50</v>
      </c>
      <c r="C52" s="21" t="s">
        <v>231</v>
      </c>
      <c r="D52" s="7"/>
      <c r="E52" s="8" t="s">
        <v>232</v>
      </c>
      <c r="F52" s="7" t="s">
        <v>204</v>
      </c>
      <c r="G52" s="7" t="s">
        <v>204</v>
      </c>
      <c r="H52" s="7" t="s">
        <v>204</v>
      </c>
      <c r="I52" s="7" t="s">
        <v>204</v>
      </c>
      <c r="J52" s="7">
        <v>1</v>
      </c>
      <c r="K52" s="23" t="s">
        <v>233</v>
      </c>
      <c r="L52" s="7"/>
    </row>
  </sheetData>
  <mergeCells count="1">
    <mergeCell ref="I1:J1"/>
  </mergeCells>
  <hyperlinks>
    <hyperlink ref="K52" r:id="rId1" xr:uid="{390B6669-BB9D-4DF5-BE2E-0452CFD00395}"/>
    <hyperlink ref="K51" r:id="rId2" xr:uid="{C913FF07-851C-43BE-B6E4-5473E534A44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Battery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2024-10-18T08:41:57Z</dcterms:modified>
</cp:coreProperties>
</file>